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rustic-trader\doc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O4" i="1"/>
  <c r="M4" i="1"/>
  <c r="E4" i="1"/>
  <c r="G4" i="1"/>
  <c r="H4" i="1" s="1"/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F6" i="1"/>
  <c r="E6" i="1"/>
  <c r="E3" i="1" l="1"/>
  <c r="F59" i="1"/>
  <c r="F51" i="1"/>
  <c r="F43" i="1"/>
  <c r="F35" i="1"/>
  <c r="F27" i="1"/>
  <c r="F19" i="1"/>
  <c r="F11" i="1"/>
  <c r="F58" i="1"/>
  <c r="F50" i="1"/>
  <c r="F42" i="1"/>
  <c r="F34" i="1"/>
  <c r="F26" i="1"/>
  <c r="F18" i="1"/>
  <c r="F10" i="1"/>
  <c r="F65" i="1"/>
  <c r="F57" i="1"/>
  <c r="F49" i="1"/>
  <c r="F41" i="1"/>
  <c r="F33" i="1"/>
  <c r="F25" i="1"/>
  <c r="F17" i="1"/>
  <c r="F9" i="1"/>
  <c r="F64" i="1"/>
  <c r="F56" i="1"/>
  <c r="F48" i="1"/>
  <c r="F40" i="1"/>
  <c r="F32" i="1"/>
  <c r="F24" i="1"/>
  <c r="F16" i="1"/>
  <c r="F8" i="1"/>
  <c r="F63" i="1"/>
  <c r="F55" i="1"/>
  <c r="F47" i="1"/>
  <c r="F39" i="1"/>
  <c r="F31" i="1"/>
  <c r="F23" i="1"/>
  <c r="F15" i="1"/>
  <c r="F7" i="1"/>
  <c r="F62" i="1"/>
  <c r="F54" i="1"/>
  <c r="F46" i="1"/>
  <c r="F38" i="1"/>
  <c r="F30" i="1"/>
  <c r="F22" i="1"/>
  <c r="F14" i="1"/>
  <c r="F61" i="1"/>
  <c r="F53" i="1"/>
  <c r="F45" i="1"/>
  <c r="F37" i="1"/>
  <c r="F29" i="1"/>
  <c r="F21" i="1"/>
  <c r="F13" i="1"/>
  <c r="F60" i="1"/>
  <c r="F52" i="1"/>
  <c r="F44" i="1"/>
  <c r="F36" i="1"/>
  <c r="F28" i="1"/>
  <c r="F20" i="1"/>
  <c r="F12" i="1"/>
  <c r="N23" i="1"/>
  <c r="N16" i="1"/>
  <c r="N19" i="1"/>
  <c r="N9" i="1"/>
  <c r="N21" i="1"/>
  <c r="N22" i="1"/>
  <c r="N20" i="1"/>
  <c r="N8" i="1"/>
  <c r="N12" i="1"/>
  <c r="N18" i="1"/>
  <c r="M3" i="1"/>
  <c r="N6" i="1"/>
  <c r="N17" i="1"/>
  <c r="N24" i="1"/>
  <c r="N7" i="1"/>
  <c r="N14" i="1"/>
  <c r="N13" i="1"/>
  <c r="N10" i="1"/>
  <c r="N25" i="1"/>
  <c r="N15" i="1"/>
  <c r="N11" i="1"/>
  <c r="G32" i="1"/>
  <c r="G54" i="1"/>
  <c r="G37" i="1"/>
  <c r="G62" i="1"/>
  <c r="G63" i="1"/>
  <c r="G65" i="1"/>
  <c r="G48" i="1"/>
  <c r="G50" i="1"/>
  <c r="G34" i="1"/>
  <c r="G55" i="1"/>
  <c r="G9" i="1"/>
  <c r="G35" i="1"/>
  <c r="G56" i="1"/>
  <c r="G60" i="1"/>
  <c r="G61" i="1"/>
  <c r="G14" i="1"/>
  <c r="G24" i="1"/>
  <c r="G33" i="1"/>
  <c r="G38" i="1"/>
  <c r="G45" i="1"/>
  <c r="G20" i="1"/>
  <c r="G22" i="1"/>
  <c r="G53" i="1"/>
  <c r="G7" i="1"/>
  <c r="G36" i="1"/>
  <c r="G39" i="1"/>
  <c r="G46" i="1"/>
  <c r="G49" i="1"/>
  <c r="G8" i="1"/>
  <c r="G21" i="1"/>
  <c r="G52" i="1"/>
  <c r="G16" i="1"/>
  <c r="G19" i="1"/>
  <c r="G23" i="1"/>
  <c r="G17" i="1"/>
  <c r="G40" i="1"/>
  <c r="G64" i="1"/>
  <c r="G18" i="1"/>
  <c r="G51" i="1"/>
  <c r="G30" i="1"/>
  <c r="G6" i="1"/>
  <c r="G47" i="1"/>
  <c r="G31" i="1"/>
  <c r="G15" i="1"/>
  <c r="G29" i="1"/>
  <c r="G13" i="1"/>
  <c r="G44" i="1"/>
  <c r="G28" i="1"/>
  <c r="G12" i="1"/>
  <c r="G27" i="1"/>
  <c r="G59" i="1"/>
  <c r="G43" i="1"/>
  <c r="G11" i="1"/>
  <c r="G58" i="1"/>
  <c r="G42" i="1"/>
  <c r="G26" i="1"/>
  <c r="G10" i="1"/>
  <c r="G57" i="1"/>
  <c r="G41" i="1"/>
  <c r="G25" i="1"/>
  <c r="F3" i="1" l="1"/>
  <c r="N3" i="1"/>
  <c r="O21" i="1"/>
  <c r="O22" i="1"/>
  <c r="O23" i="1"/>
  <c r="O18" i="1"/>
  <c r="O13" i="1"/>
  <c r="O8" i="1"/>
  <c r="O24" i="1"/>
  <c r="O19" i="1"/>
  <c r="O14" i="1"/>
  <c r="O25" i="1"/>
  <c r="O16" i="1"/>
  <c r="O11" i="1"/>
  <c r="O20" i="1"/>
  <c r="O10" i="1"/>
  <c r="O9" i="1"/>
  <c r="O15" i="1"/>
  <c r="O6" i="1"/>
  <c r="O17" i="1"/>
  <c r="O12" i="1"/>
  <c r="O7" i="1"/>
  <c r="G3" i="1"/>
  <c r="H21" i="1"/>
  <c r="H37" i="1"/>
  <c r="H53" i="1"/>
  <c r="H42" i="1"/>
  <c r="H6" i="1"/>
  <c r="H22" i="1"/>
  <c r="H38" i="1"/>
  <c r="H54" i="1"/>
  <c r="H23" i="1"/>
  <c r="H10" i="1"/>
  <c r="H13" i="1"/>
  <c r="H62" i="1"/>
  <c r="H18" i="1"/>
  <c r="H7" i="1"/>
  <c r="H39" i="1"/>
  <c r="H55" i="1"/>
  <c r="H26" i="1"/>
  <c r="H61" i="1"/>
  <c r="H30" i="1"/>
  <c r="H47" i="1"/>
  <c r="H50" i="1"/>
  <c r="H51" i="1"/>
  <c r="H8" i="1"/>
  <c r="H24" i="1"/>
  <c r="H40" i="1"/>
  <c r="H56" i="1"/>
  <c r="H45" i="1"/>
  <c r="H64" i="1"/>
  <c r="H49" i="1"/>
  <c r="H20" i="1"/>
  <c r="H9" i="1"/>
  <c r="H25" i="1"/>
  <c r="H41" i="1"/>
  <c r="H57" i="1"/>
  <c r="H58" i="1"/>
  <c r="H48" i="1"/>
  <c r="H11" i="1"/>
  <c r="H27" i="1"/>
  <c r="H43" i="1"/>
  <c r="H59" i="1"/>
  <c r="H29" i="1"/>
  <c r="H31" i="1"/>
  <c r="H16" i="1"/>
  <c r="H33" i="1"/>
  <c r="H52" i="1"/>
  <c r="H12" i="1"/>
  <c r="H28" i="1"/>
  <c r="H44" i="1"/>
  <c r="H60" i="1"/>
  <c r="H46" i="1"/>
  <c r="H63" i="1"/>
  <c r="H32" i="1"/>
  <c r="H17" i="1"/>
  <c r="H35" i="1"/>
  <c r="H14" i="1"/>
  <c r="H34" i="1"/>
  <c r="H36" i="1"/>
  <c r="H15" i="1"/>
  <c r="H65" i="1"/>
  <c r="H19" i="1"/>
  <c r="O3" i="1" l="1"/>
  <c r="P9" i="1"/>
  <c r="P13" i="1"/>
  <c r="P17" i="1"/>
  <c r="P21" i="1"/>
  <c r="P25" i="1"/>
  <c r="P6" i="1"/>
  <c r="P10" i="1"/>
  <c r="P14" i="1"/>
  <c r="P18" i="1"/>
  <c r="P22" i="1"/>
  <c r="P11" i="1"/>
  <c r="P23" i="1"/>
  <c r="P12" i="1"/>
  <c r="P19" i="1"/>
  <c r="P20" i="1"/>
  <c r="P15" i="1"/>
  <c r="P16" i="1"/>
  <c r="P24" i="1"/>
  <c r="P7" i="1"/>
  <c r="P8" i="1"/>
  <c r="H3" i="1"/>
  <c r="P3" i="1" l="1"/>
</calcChain>
</file>

<file path=xl/sharedStrings.xml><?xml version="1.0" encoding="utf-8"?>
<sst xmlns="http://schemas.openxmlformats.org/spreadsheetml/2006/main" count="12" uniqueCount="3">
  <si>
    <t>y</t>
    <phoneticPr fontId="1" type="noConversion"/>
  </si>
  <si>
    <t>coup</t>
    <phoneticPr fontId="1" type="noConversion"/>
  </si>
  <si>
    <t>disc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</si>
</sst>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5"/>
  <sheetViews>
    <sheetView tabSelected="1" workbookViewId="0">
      <selection activeCell="P25" sqref="P25"/>
    </sheetView>
  </sheetViews>
  <sheetFormatPr defaultRowHeight="16.5" x14ac:dyDescent="0.3"/>
  <sheetData>
    <row r="1" spans="2:16" x14ac:dyDescent="0.3">
      <c r="K1">
        <v>117.4</v>
      </c>
    </row>
    <row r="2" spans="2:16" x14ac:dyDescent="0.3">
      <c r="B2">
        <v>147.06</v>
      </c>
      <c r="K2">
        <v>118.2</v>
      </c>
    </row>
    <row r="3" spans="2:16" x14ac:dyDescent="0.3">
      <c r="B3">
        <v>147.19999999999999</v>
      </c>
      <c r="E3">
        <f>SUMPRODUCT($D6:$D65, E6:E65)</f>
        <v>146.60564968320352</v>
      </c>
      <c r="F3">
        <f>SUMPRODUCT($D6:$D65, F6:F65)</f>
        <v>146.34082907597431</v>
      </c>
      <c r="G3">
        <f>SUMPRODUCT($D6:$D65, G6:G65)</f>
        <v>146.07665609957184</v>
      </c>
      <c r="H3">
        <f>SUMPRODUCT($D6:$D65, H6:H65)</f>
        <v>145.81312898485658</v>
      </c>
      <c r="M3">
        <f>SUMPRODUCT($L6:$L65, M6:M65)</f>
        <v>117.49926343232832</v>
      </c>
      <c r="N3">
        <f t="shared" ref="N3:P3" si="0">SUMPRODUCT($L6:$L65, N6:N65)</f>
        <v>117.40468577380933</v>
      </c>
      <c r="O3">
        <f t="shared" si="0"/>
        <v>117.31019894151213</v>
      </c>
      <c r="P3">
        <f t="shared" si="0"/>
        <v>117.21580284072661</v>
      </c>
    </row>
    <row r="4" spans="2:16" x14ac:dyDescent="0.3">
      <c r="D4" t="s">
        <v>0</v>
      </c>
      <c r="E4">
        <f>F4-0.0001</f>
        <v>2.7179999999999999E-2</v>
      </c>
      <c r="F4">
        <v>2.7279999999999999E-2</v>
      </c>
      <c r="G4">
        <f>F4+0.0001</f>
        <v>2.7379999999999998E-2</v>
      </c>
      <c r="H4">
        <f>G4+0.0001</f>
        <v>2.7479999999999997E-2</v>
      </c>
      <c r="L4" t="s">
        <v>0</v>
      </c>
      <c r="M4">
        <f>N4-0.0001</f>
        <v>2.9649999999999999E-2</v>
      </c>
      <c r="N4">
        <v>2.9749999999999999E-2</v>
      </c>
      <c r="O4">
        <f>N4+0.0001</f>
        <v>2.9849999999999998E-2</v>
      </c>
      <c r="P4">
        <f>O4+0.0001</f>
        <v>2.9949999999999997E-2</v>
      </c>
    </row>
    <row r="5" spans="2:16" x14ac:dyDescent="0.3">
      <c r="D5" s="1" t="s">
        <v>1</v>
      </c>
      <c r="E5" t="s">
        <v>2</v>
      </c>
      <c r="F5" t="s">
        <v>2</v>
      </c>
      <c r="G5" t="s">
        <v>2</v>
      </c>
      <c r="H5" t="s">
        <v>2</v>
      </c>
      <c r="L5" s="1" t="s">
        <v>1</v>
      </c>
      <c r="M5" t="s">
        <v>2</v>
      </c>
      <c r="N5" t="s">
        <v>2</v>
      </c>
      <c r="O5" t="s">
        <v>2</v>
      </c>
      <c r="P5" t="s">
        <v>2</v>
      </c>
    </row>
    <row r="6" spans="2:16" x14ac:dyDescent="0.3">
      <c r="C6">
        <v>0.5</v>
      </c>
      <c r="D6">
        <v>2.5</v>
      </c>
      <c r="E6">
        <f>1/(1+E$4/2)^(2*$C6)</f>
        <v>0.9865922118410797</v>
      </c>
      <c r="F6">
        <f>1/(1+F$4/2)^(2*$C6)</f>
        <v>0.9865435460321218</v>
      </c>
      <c r="G6">
        <f>1/(1+G$4/2)^(2*$C6)</f>
        <v>0.98649488502402116</v>
      </c>
      <c r="H6">
        <f>1/(1+H$4/2)^(2*$C6)</f>
        <v>0.98644622881606714</v>
      </c>
      <c r="K6">
        <v>0.5</v>
      </c>
      <c r="L6">
        <v>2.5</v>
      </c>
      <c r="M6">
        <f>1/(1+M$4/2)^(2*$K6)</f>
        <v>0.98539156997511879</v>
      </c>
      <c r="N6">
        <f t="shared" ref="N6:P21" si="1">1/(1+N$4/2)^(2*$K6)</f>
        <v>0.98534302253972161</v>
      </c>
      <c r="O6">
        <f t="shared" si="1"/>
        <v>0.98529447988767638</v>
      </c>
      <c r="P6">
        <f t="shared" si="1"/>
        <v>0.98524594201827631</v>
      </c>
    </row>
    <row r="7" spans="2:16" x14ac:dyDescent="0.3">
      <c r="C7">
        <v>1</v>
      </c>
      <c r="D7">
        <v>2.5</v>
      </c>
      <c r="E7">
        <f t="shared" ref="E7:H38" si="2">1/(1+E$4/2)^(2*$C7)</f>
        <v>0.9733641924654739</v>
      </c>
      <c r="F7">
        <f t="shared" si="2"/>
        <v>0.97326816821763329</v>
      </c>
      <c r="G7">
        <f t="shared" si="2"/>
        <v>0.97317215817855685</v>
      </c>
      <c r="H7">
        <f t="shared" si="2"/>
        <v>0.9730761623454407</v>
      </c>
      <c r="K7">
        <v>1</v>
      </c>
      <c r="L7">
        <v>2.5</v>
      </c>
      <c r="M7">
        <f t="shared" ref="M7:P25" si="3">1/(1+M$4/2)^(2*$K7)</f>
        <v>0.97099654617802944</v>
      </c>
      <c r="N7">
        <f t="shared" si="1"/>
        <v>0.97090087206771447</v>
      </c>
      <c r="O7">
        <f t="shared" si="1"/>
        <v>0.97080521209712656</v>
      </c>
      <c r="P7">
        <f t="shared" si="1"/>
        <v>0.97070956626348071</v>
      </c>
    </row>
    <row r="8" spans="2:16" x14ac:dyDescent="0.3">
      <c r="C8">
        <v>1.5</v>
      </c>
      <c r="D8">
        <v>2.5</v>
      </c>
      <c r="E8">
        <f t="shared" si="2"/>
        <v>0.96031353157141841</v>
      </c>
      <c r="F8">
        <f t="shared" si="2"/>
        <v>0.96017142991361148</v>
      </c>
      <c r="G8">
        <f t="shared" si="2"/>
        <v>0.96002935629093389</v>
      </c>
      <c r="H8">
        <f t="shared" si="2"/>
        <v>0.95988731069647104</v>
      </c>
      <c r="K8">
        <v>1.5</v>
      </c>
      <c r="L8">
        <v>2.5</v>
      </c>
      <c r="M8">
        <f t="shared" si="3"/>
        <v>0.95681181107878632</v>
      </c>
      <c r="N8">
        <f t="shared" si="1"/>
        <v>0.95667039986965341</v>
      </c>
      <c r="O8">
        <f t="shared" si="1"/>
        <v>0.95652901652548372</v>
      </c>
      <c r="P8">
        <f t="shared" si="1"/>
        <v>0.95638766103941553</v>
      </c>
    </row>
    <row r="9" spans="2:16" x14ac:dyDescent="0.3">
      <c r="C9">
        <v>2</v>
      </c>
      <c r="D9">
        <v>2.5</v>
      </c>
      <c r="E9">
        <f t="shared" si="2"/>
        <v>0.94743785117396406</v>
      </c>
      <c r="F9">
        <f t="shared" si="2"/>
        <v>0.94725092726570725</v>
      </c>
      <c r="G9">
        <f t="shared" si="2"/>
        <v>0.94706404945390987</v>
      </c>
      <c r="H9">
        <f t="shared" si="2"/>
        <v>0.9468772177249305</v>
      </c>
      <c r="K9">
        <v>2</v>
      </c>
      <c r="L9">
        <v>2.5</v>
      </c>
      <c r="M9">
        <f t="shared" si="3"/>
        <v>0.94283429268966223</v>
      </c>
      <c r="N9">
        <f t="shared" si="1"/>
        <v>0.94264850338184847</v>
      </c>
      <c r="O9">
        <f t="shared" si="1"/>
        <v>0.94246275983494709</v>
      </c>
      <c r="P9">
        <f t="shared" si="1"/>
        <v>0.94227706203543493</v>
      </c>
    </row>
    <row r="10" spans="2:16" x14ac:dyDescent="0.3">
      <c r="C10">
        <v>2.5</v>
      </c>
      <c r="D10">
        <v>2.5</v>
      </c>
      <c r="E10">
        <f t="shared" si="2"/>
        <v>0.93473480517168095</v>
      </c>
      <c r="F10">
        <f t="shared" si="2"/>
        <v>0.93450428876692637</v>
      </c>
      <c r="G10">
        <f t="shared" si="2"/>
        <v>0.93427384057641871</v>
      </c>
      <c r="H10">
        <f t="shared" si="2"/>
        <v>0.93404346057660792</v>
      </c>
      <c r="K10">
        <v>2.5</v>
      </c>
      <c r="L10">
        <v>2.5</v>
      </c>
      <c r="M10">
        <f t="shared" si="3"/>
        <v>0.92906096389984694</v>
      </c>
      <c r="N10">
        <f t="shared" si="1"/>
        <v>0.92883212551481553</v>
      </c>
      <c r="O10">
        <f t="shared" si="1"/>
        <v>0.92860335476507805</v>
      </c>
      <c r="P10">
        <f t="shared" si="1"/>
        <v>0.92837465162731581</v>
      </c>
    </row>
    <row r="11" spans="2:16" x14ac:dyDescent="0.3">
      <c r="C11">
        <v>3</v>
      </c>
      <c r="D11">
        <v>2.5</v>
      </c>
      <c r="E11">
        <f t="shared" si="2"/>
        <v>0.92220207891916939</v>
      </c>
      <c r="F11">
        <f t="shared" si="2"/>
        <v>0.92192917482234948</v>
      </c>
      <c r="G11">
        <f t="shared" si="2"/>
        <v>0.92165636494038483</v>
      </c>
      <c r="H11">
        <f t="shared" si="2"/>
        <v>0.92138364923610372</v>
      </c>
      <c r="K11">
        <v>3</v>
      </c>
      <c r="L11">
        <v>2.5</v>
      </c>
      <c r="M11">
        <f t="shared" si="3"/>
        <v>0.91548884181986723</v>
      </c>
      <c r="N11">
        <f t="shared" si="1"/>
        <v>0.91521825398676249</v>
      </c>
      <c r="O11">
        <f t="shared" si="1"/>
        <v>0.91494775945520901</v>
      </c>
      <c r="P11">
        <f t="shared" si="1"/>
        <v>0.91467735818844398</v>
      </c>
    </row>
    <row r="12" spans="2:16" x14ac:dyDescent="0.3">
      <c r="C12">
        <v>3.5</v>
      </c>
      <c r="D12">
        <v>2.5</v>
      </c>
      <c r="E12">
        <f t="shared" si="2"/>
        <v>0.90983738880530551</v>
      </c>
      <c r="F12">
        <f t="shared" si="2"/>
        <v>0.90952327731970861</v>
      </c>
      <c r="G12">
        <f t="shared" si="2"/>
        <v>0.90920928976352244</v>
      </c>
      <c r="H12">
        <f t="shared" si="2"/>
        <v>0.90889542608174045</v>
      </c>
      <c r="K12">
        <v>3.5</v>
      </c>
      <c r="L12">
        <v>2.5</v>
      </c>
      <c r="M12">
        <f t="shared" si="3"/>
        <v>0.90211498713558214</v>
      </c>
      <c r="N12">
        <f t="shared" si="1"/>
        <v>0.90180392066684323</v>
      </c>
      <c r="O12">
        <f t="shared" si="1"/>
        <v>0.90149297677681495</v>
      </c>
      <c r="P12">
        <f t="shared" si="1"/>
        <v>0.90118215541116176</v>
      </c>
    </row>
    <row r="13" spans="2:16" x14ac:dyDescent="0.3">
      <c r="C13">
        <v>4</v>
      </c>
      <c r="D13">
        <v>2.5</v>
      </c>
      <c r="E13">
        <f t="shared" si="2"/>
        <v>0.89763848183713846</v>
      </c>
      <c r="F13">
        <f t="shared" si="2"/>
        <v>0.89728431920574225</v>
      </c>
      <c r="G13">
        <f t="shared" si="2"/>
        <v>0.89693031376803778</v>
      </c>
      <c r="H13">
        <f t="shared" si="2"/>
        <v>0.8965764654465056</v>
      </c>
      <c r="K13">
        <v>4</v>
      </c>
      <c r="L13">
        <v>2.5</v>
      </c>
      <c r="M13">
        <f t="shared" si="3"/>
        <v>0.88893650347161568</v>
      </c>
      <c r="N13">
        <f t="shared" si="1"/>
        <v>0.88858620092803875</v>
      </c>
      <c r="O13">
        <f t="shared" si="1"/>
        <v>0.88823605367570502</v>
      </c>
      <c r="P13">
        <f t="shared" si="1"/>
        <v>0.88788606163813077</v>
      </c>
    </row>
    <row r="14" spans="2:16" x14ac:dyDescent="0.3">
      <c r="C14">
        <v>4.5</v>
      </c>
      <c r="D14">
        <v>2.5</v>
      </c>
      <c r="E14">
        <f t="shared" si="2"/>
        <v>0.8856031352293714</v>
      </c>
      <c r="F14">
        <f t="shared" si="2"/>
        <v>0.88521005406825115</v>
      </c>
      <c r="G14">
        <f t="shared" si="2"/>
        <v>0.88481716675515965</v>
      </c>
      <c r="H14">
        <f t="shared" si="2"/>
        <v>0.88442447318494433</v>
      </c>
      <c r="K14">
        <v>4.5</v>
      </c>
      <c r="L14">
        <v>2.5</v>
      </c>
      <c r="M14">
        <f t="shared" si="3"/>
        <v>0.87595053676408796</v>
      </c>
      <c r="N14">
        <f t="shared" si="1"/>
        <v>0.87556221300952208</v>
      </c>
      <c r="O14">
        <f t="shared" si="1"/>
        <v>0.8751740805238859</v>
      </c>
      <c r="P14">
        <f t="shared" si="1"/>
        <v>0.87478613920355752</v>
      </c>
    </row>
    <row r="15" spans="2:16" x14ac:dyDescent="0.3">
      <c r="C15">
        <v>5</v>
      </c>
      <c r="D15">
        <v>2.5</v>
      </c>
      <c r="E15">
        <f t="shared" si="2"/>
        <v>0.87372915599934031</v>
      </c>
      <c r="F15">
        <f t="shared" si="2"/>
        <v>0.87329826572377889</v>
      </c>
      <c r="G15">
        <f t="shared" si="2"/>
        <v>0.87286760918541151</v>
      </c>
      <c r="H15">
        <f t="shared" si="2"/>
        <v>0.87243718624592537</v>
      </c>
      <c r="K15">
        <v>5</v>
      </c>
      <c r="L15">
        <v>2.5</v>
      </c>
      <c r="M15">
        <f t="shared" si="3"/>
        <v>0.86315427464251271</v>
      </c>
      <c r="N15">
        <f t="shared" si="1"/>
        <v>0.8627291173883701</v>
      </c>
      <c r="O15">
        <f t="shared" si="1"/>
        <v>0.86230419048095741</v>
      </c>
      <c r="P15">
        <f t="shared" si="1"/>
        <v>0.86187949378414008</v>
      </c>
    </row>
    <row r="16" spans="2:16" x14ac:dyDescent="0.3">
      <c r="C16">
        <v>5.5</v>
      </c>
      <c r="D16">
        <v>2.5</v>
      </c>
      <c r="E16">
        <f t="shared" si="2"/>
        <v>0.86201438056742885</v>
      </c>
      <c r="F16">
        <f t="shared" si="2"/>
        <v>0.86154676781083894</v>
      </c>
      <c r="G16">
        <f t="shared" si="2"/>
        <v>0.8610794317645547</v>
      </c>
      <c r="H16">
        <f t="shared" si="2"/>
        <v>0.86061237225119369</v>
      </c>
      <c r="K16">
        <v>5.5</v>
      </c>
      <c r="L16">
        <v>2.5</v>
      </c>
      <c r="M16">
        <f t="shared" si="3"/>
        <v>0.85054494582072038</v>
      </c>
      <c r="N16">
        <f t="shared" si="1"/>
        <v>0.85008411616048307</v>
      </c>
      <c r="O16">
        <f t="shared" si="1"/>
        <v>0.84962355886489893</v>
      </c>
      <c r="P16">
        <f t="shared" si="1"/>
        <v>0.84916327375959022</v>
      </c>
    </row>
    <row r="17" spans="3:16" x14ac:dyDescent="0.3">
      <c r="C17">
        <v>6</v>
      </c>
      <c r="D17">
        <v>2.5</v>
      </c>
      <c r="E17">
        <f t="shared" si="2"/>
        <v>0.85045667436283789</v>
      </c>
      <c r="F17">
        <f t="shared" si="2"/>
        <v>0.84995340338861824</v>
      </c>
      <c r="G17">
        <f t="shared" si="2"/>
        <v>0.84945045503512384</v>
      </c>
      <c r="H17">
        <f t="shared" si="2"/>
        <v>0.8489478290796395</v>
      </c>
      <c r="K17">
        <v>6</v>
      </c>
      <c r="L17">
        <v>2.5</v>
      </c>
      <c r="M17">
        <f t="shared" si="3"/>
        <v>0.83811981949668213</v>
      </c>
      <c r="N17">
        <f t="shared" si="1"/>
        <v>0.83762445243057815</v>
      </c>
      <c r="O17">
        <f t="shared" si="1"/>
        <v>0.8371294025321071</v>
      </c>
      <c r="P17">
        <f t="shared" si="1"/>
        <v>0.83663466958259092</v>
      </c>
    </row>
    <row r="18" spans="3:16" x14ac:dyDescent="0.3">
      <c r="C18">
        <v>6.5</v>
      </c>
      <c r="D18">
        <v>2.5</v>
      </c>
      <c r="E18">
        <f t="shared" si="2"/>
        <v>0.83905393143464113</v>
      </c>
      <c r="F18">
        <f t="shared" si="2"/>
        <v>0.83851604454107787</v>
      </c>
      <c r="G18">
        <f t="shared" si="2"/>
        <v>0.83797852897347702</v>
      </c>
      <c r="H18">
        <f t="shared" si="2"/>
        <v>0.83744138445719762</v>
      </c>
      <c r="K18">
        <v>6.5</v>
      </c>
      <c r="L18">
        <v>2.5</v>
      </c>
      <c r="M18">
        <f t="shared" si="3"/>
        <v>0.82587620476109891</v>
      </c>
      <c r="N18">
        <f t="shared" si="1"/>
        <v>0.8253474097111253</v>
      </c>
      <c r="O18">
        <f t="shared" si="1"/>
        <v>0.82481897926655368</v>
      </c>
      <c r="P18">
        <f t="shared" si="1"/>
        <v>0.82429091315804914</v>
      </c>
    </row>
    <row r="19" spans="3:16" x14ac:dyDescent="0.3">
      <c r="C19">
        <v>7</v>
      </c>
      <c r="D19">
        <v>2.5</v>
      </c>
      <c r="E19">
        <f t="shared" si="2"/>
        <v>0.82780407406805623</v>
      </c>
      <c r="F19">
        <f t="shared" si="2"/>
        <v>0.82723259198638355</v>
      </c>
      <c r="G19">
        <f t="shared" si="2"/>
        <v>0.82666153259228847</v>
      </c>
      <c r="H19">
        <f t="shared" si="2"/>
        <v>0.82609089555230875</v>
      </c>
      <c r="K19">
        <v>7</v>
      </c>
      <c r="L19">
        <v>2.5</v>
      </c>
      <c r="M19">
        <f t="shared" si="3"/>
        <v>0.81381145001463184</v>
      </c>
      <c r="N19">
        <f t="shared" si="1"/>
        <v>0.81325031133009018</v>
      </c>
      <c r="O19">
        <f t="shared" si="1"/>
        <v>0.81268958717792306</v>
      </c>
      <c r="P19">
        <f t="shared" si="1"/>
        <v>0.81212927723150741</v>
      </c>
    </row>
    <row r="20" spans="3:16" x14ac:dyDescent="0.3">
      <c r="C20">
        <v>7.5</v>
      </c>
      <c r="D20">
        <v>2.5</v>
      </c>
      <c r="E20">
        <f t="shared" si="2"/>
        <v>0.81670505240586067</v>
      </c>
      <c r="F20">
        <f t="shared" si="2"/>
        <v>0.81610097469159026</v>
      </c>
      <c r="G20">
        <f t="shared" si="2"/>
        <v>0.8154973735484109</v>
      </c>
      <c r="H20">
        <f t="shared" si="2"/>
        <v>0.81489424857686266</v>
      </c>
      <c r="K20">
        <v>7.5</v>
      </c>
      <c r="L20">
        <v>2.5</v>
      </c>
      <c r="M20">
        <f t="shared" si="3"/>
        <v>0.80192294239364603</v>
      </c>
      <c r="N20">
        <f t="shared" si="1"/>
        <v>0.8013305198473607</v>
      </c>
      <c r="O20">
        <f t="shared" si="1"/>
        <v>0.80073856410860211</v>
      </c>
      <c r="P20">
        <f t="shared" si="1"/>
        <v>0.80014707478657832</v>
      </c>
    </row>
    <row r="21" spans="3:16" x14ac:dyDescent="0.3">
      <c r="C21">
        <v>8</v>
      </c>
      <c r="D21">
        <v>2.5</v>
      </c>
      <c r="E21">
        <f t="shared" si="2"/>
        <v>0.80575484407488285</v>
      </c>
      <c r="F21">
        <f t="shared" si="2"/>
        <v>0.80511914949251218</v>
      </c>
      <c r="G21">
        <f t="shared" si="2"/>
        <v>0.80448398775603081</v>
      </c>
      <c r="H21">
        <f t="shared" si="2"/>
        <v>0.80384935839254901</v>
      </c>
      <c r="K21">
        <v>8</v>
      </c>
      <c r="L21">
        <v>2.5</v>
      </c>
      <c r="M21">
        <f t="shared" si="3"/>
        <v>0.79020810720434176</v>
      </c>
      <c r="N21">
        <f t="shared" si="1"/>
        <v>0.78958543647972479</v>
      </c>
      <c r="O21">
        <f t="shared" si="1"/>
        <v>0.78896328704938989</v>
      </c>
      <c r="P21">
        <f t="shared" si="1"/>
        <v>0.78834165845127047</v>
      </c>
    </row>
    <row r="22" spans="3:16" x14ac:dyDescent="0.3">
      <c r="C22">
        <v>8.5</v>
      </c>
      <c r="D22">
        <v>2.5</v>
      </c>
      <c r="E22">
        <f t="shared" si="2"/>
        <v>0.79495145381750298</v>
      </c>
      <c r="F22">
        <f t="shared" si="2"/>
        <v>0.79428510071870895</v>
      </c>
      <c r="G22">
        <f t="shared" si="2"/>
        <v>0.79361933900505166</v>
      </c>
      <c r="H22">
        <f t="shared" si="2"/>
        <v>0.79295416812254527</v>
      </c>
      <c r="K22">
        <v>8.5</v>
      </c>
      <c r="L22">
        <v>2.5</v>
      </c>
      <c r="M22">
        <f t="shared" si="3"/>
        <v>0.77866440736515341</v>
      </c>
      <c r="N22">
        <f t="shared" si="3"/>
        <v>0.7780125005342774</v>
      </c>
      <c r="O22">
        <f t="shared" si="3"/>
        <v>0.77736117156380014</v>
      </c>
      <c r="P22">
        <f t="shared" si="3"/>
        <v>0.77671041991307221</v>
      </c>
    </row>
    <row r="23" spans="3:16" x14ac:dyDescent="0.3">
      <c r="C23">
        <v>9</v>
      </c>
      <c r="D23">
        <v>2.5</v>
      </c>
      <c r="E23">
        <f t="shared" si="2"/>
        <v>0.78429291312809213</v>
      </c>
      <c r="F23">
        <f t="shared" si="2"/>
        <v>0.78359683982351613</v>
      </c>
      <c r="G23">
        <f t="shared" si="2"/>
        <v>0.78290141858462825</v>
      </c>
      <c r="H23">
        <f t="shared" si="2"/>
        <v>0.78220664876846635</v>
      </c>
      <c r="K23">
        <v>9</v>
      </c>
      <c r="L23">
        <v>2.5</v>
      </c>
      <c r="M23">
        <f t="shared" si="3"/>
        <v>0.76728934285729389</v>
      </c>
      <c r="N23">
        <f t="shared" si="3"/>
        <v>0.76660918885013174</v>
      </c>
      <c r="O23">
        <f t="shared" si="3"/>
        <v>0.76592967122082911</v>
      </c>
      <c r="P23">
        <f t="shared" si="3"/>
        <v>0.76525078934266577</v>
      </c>
    </row>
    <row r="24" spans="3:16" x14ac:dyDescent="0.3">
      <c r="C24">
        <v>9.5</v>
      </c>
      <c r="D24">
        <v>2.5</v>
      </c>
      <c r="E24">
        <f t="shared" si="2"/>
        <v>0.77377727989432832</v>
      </c>
      <c r="F24">
        <f t="shared" si="2"/>
        <v>0.77305240501905614</v>
      </c>
      <c r="G24">
        <f t="shared" si="2"/>
        <v>0.77232824491178576</v>
      </c>
      <c r="H24">
        <f t="shared" si="2"/>
        <v>0.77160479883250765</v>
      </c>
      <c r="K24">
        <v>9.5</v>
      </c>
      <c r="L24">
        <v>2.5</v>
      </c>
      <c r="M24">
        <f t="shared" si="3"/>
        <v>0.75608045018332593</v>
      </c>
      <c r="N24">
        <f t="shared" si="3"/>
        <v>0.75537301524831313</v>
      </c>
      <c r="O24">
        <f t="shared" si="3"/>
        <v>0.75466627703606581</v>
      </c>
      <c r="P24">
        <f t="shared" si="3"/>
        <v>0.75396023482614427</v>
      </c>
    </row>
    <row r="25" spans="3:16" x14ac:dyDescent="0.3">
      <c r="C25">
        <v>10</v>
      </c>
      <c r="D25">
        <v>2.5</v>
      </c>
      <c r="E25">
        <f t="shared" si="2"/>
        <v>0.76340263804331943</v>
      </c>
      <c r="F25">
        <f t="shared" si="2"/>
        <v>0.76264986091615983</v>
      </c>
      <c r="G25">
        <f t="shared" si="2"/>
        <v>0.76189786316505625</v>
      </c>
      <c r="H25">
        <f t="shared" si="2"/>
        <v>0.76114664394470744</v>
      </c>
      <c r="K25">
        <v>10</v>
      </c>
      <c r="L25">
        <v>102.5</v>
      </c>
      <c r="M25">
        <f t="shared" si="3"/>
        <v>0.7450353018336423</v>
      </c>
      <c r="N25">
        <f t="shared" si="3"/>
        <v>0.7443015299897161</v>
      </c>
      <c r="O25">
        <f t="shared" si="3"/>
        <v>0.74356851692101944</v>
      </c>
      <c r="P25">
        <f t="shared" si="3"/>
        <v>0.74283626180560547</v>
      </c>
    </row>
    <row r="26" spans="3:16" x14ac:dyDescent="0.3">
      <c r="C26">
        <v>10.5</v>
      </c>
      <c r="D26">
        <v>2.5</v>
      </c>
      <c r="E26">
        <f t="shared" si="2"/>
        <v>0.75316709719247377</v>
      </c>
      <c r="F26">
        <f t="shared" si="2"/>
        <v>0.75238729816913286</v>
      </c>
      <c r="G26">
        <f t="shared" si="2"/>
        <v>0.75160834492305961</v>
      </c>
      <c r="H26">
        <f t="shared" si="2"/>
        <v>0.75083023649526237</v>
      </c>
    </row>
    <row r="27" spans="3:16" x14ac:dyDescent="0.3">
      <c r="C27">
        <v>11</v>
      </c>
      <c r="D27">
        <v>2.5</v>
      </c>
      <c r="E27">
        <f t="shared" si="2"/>
        <v>0.74306879230504808</v>
      </c>
      <c r="F27">
        <f t="shared" si="2"/>
        <v>0.74226283312530361</v>
      </c>
      <c r="G27">
        <f t="shared" si="2"/>
        <v>0.74145778780796834</v>
      </c>
      <c r="H27">
        <f t="shared" si="2"/>
        <v>0.74065365527182747</v>
      </c>
    </row>
    <row r="28" spans="3:16" x14ac:dyDescent="0.3">
      <c r="C28">
        <v>11.5</v>
      </c>
      <c r="D28">
        <v>2.5</v>
      </c>
      <c r="E28">
        <f t="shared" si="2"/>
        <v>0.73310588335031746</v>
      </c>
      <c r="F28">
        <f t="shared" si="2"/>
        <v>0.73227460747928608</v>
      </c>
      <c r="G28">
        <f t="shared" si="2"/>
        <v>0.73144431513378694</v>
      </c>
      <c r="H28">
        <f t="shared" si="2"/>
        <v>0.73061500510172961</v>
      </c>
    </row>
    <row r="29" spans="3:16" x14ac:dyDescent="0.3">
      <c r="C29">
        <v>12</v>
      </c>
      <c r="D29">
        <v>2.5</v>
      </c>
      <c r="E29">
        <f t="shared" si="2"/>
        <v>0.72327655496829801</v>
      </c>
      <c r="F29">
        <f t="shared" si="2"/>
        <v>0.72242078793189501</v>
      </c>
      <c r="G29">
        <f t="shared" si="2"/>
        <v>0.72156607555937902</v>
      </c>
      <c r="H29">
        <f t="shared" si="2"/>
        <v>0.72071241649903295</v>
      </c>
    </row>
    <row r="30" spans="3:16" x14ac:dyDescent="0.3">
      <c r="C30">
        <v>12.5</v>
      </c>
      <c r="D30">
        <v>2.5</v>
      </c>
      <c r="E30">
        <f t="shared" si="2"/>
        <v>0.71357901613896946</v>
      </c>
      <c r="F30">
        <f t="shared" si="2"/>
        <v>0.71269956585365113</v>
      </c>
      <c r="G30">
        <f t="shared" si="2"/>
        <v>0.71182124274618364</v>
      </c>
      <c r="H30">
        <f t="shared" si="2"/>
        <v>0.71094404531638566</v>
      </c>
    </row>
    <row r="31" spans="3:16" x14ac:dyDescent="0.3">
      <c r="C31">
        <v>13</v>
      </c>
      <c r="D31">
        <v>2.5</v>
      </c>
      <c r="E31">
        <f t="shared" si="2"/>
        <v>0.70401149985592737</v>
      </c>
      <c r="F31">
        <f t="shared" si="2"/>
        <v>0.70310915695281473</v>
      </c>
      <c r="G31">
        <f t="shared" si="2"/>
        <v>0.70220801502055241</v>
      </c>
      <c r="H31">
        <f t="shared" si="2"/>
        <v>0.70130807240158788</v>
      </c>
    </row>
    <row r="32" spans="3:16" x14ac:dyDescent="0.3">
      <c r="C32">
        <v>13.5</v>
      </c>
      <c r="D32">
        <v>2.5</v>
      </c>
      <c r="E32">
        <f t="shared" si="2"/>
        <v>0.69457226280441542</v>
      </c>
      <c r="F32">
        <f t="shared" si="2"/>
        <v>0.69364780094788547</v>
      </c>
      <c r="G32">
        <f t="shared" si="2"/>
        <v>0.69272461504064597</v>
      </c>
      <c r="H32">
        <f t="shared" si="2"/>
        <v>0.69180270325881166</v>
      </c>
    </row>
    <row r="33" spans="3:8" x14ac:dyDescent="0.3">
      <c r="C33">
        <v>14</v>
      </c>
      <c r="D33">
        <v>2.5</v>
      </c>
      <c r="E33">
        <f t="shared" si="2"/>
        <v>0.6852595850436719</v>
      </c>
      <c r="F33">
        <f t="shared" si="2"/>
        <v>0.68431376124451049</v>
      </c>
      <c r="G33">
        <f t="shared" si="2"/>
        <v>0.68336928946783138</v>
      </c>
      <c r="H33">
        <f t="shared" si="2"/>
        <v>0.68242616771441555</v>
      </c>
    </row>
    <row r="34" spans="3:8" x14ac:dyDescent="0.3">
      <c r="C34">
        <v>14.5</v>
      </c>
      <c r="D34">
        <v>2.5</v>
      </c>
      <c r="E34">
        <f t="shared" si="2"/>
        <v>0.67607176969353666</v>
      </c>
      <c r="F34">
        <f t="shared" si="2"/>
        <v>0.67510532461673811</v>
      </c>
      <c r="G34">
        <f t="shared" si="2"/>
        <v>0.6741403086425154</v>
      </c>
      <c r="H34">
        <f t="shared" si="2"/>
        <v>0.67317671958728642</v>
      </c>
    </row>
    <row r="35" spans="3:8" x14ac:dyDescent="0.3">
      <c r="C35">
        <v>15</v>
      </c>
      <c r="D35">
        <v>2.5</v>
      </c>
      <c r="E35">
        <f t="shared" si="2"/>
        <v>0.6670071426252594</v>
      </c>
      <c r="F35">
        <f t="shared" si="2"/>
        <v>0.66602080089256344</v>
      </c>
      <c r="G35">
        <f t="shared" si="2"/>
        <v>0.66503596626435635</v>
      </c>
      <c r="H35">
        <f t="shared" si="2"/>
        <v>0.66405263636364964</v>
      </c>
    </row>
    <row r="36" spans="3:8" x14ac:dyDescent="0.3">
      <c r="C36">
        <v>15.5</v>
      </c>
      <c r="D36">
        <v>2.5</v>
      </c>
      <c r="E36">
        <f t="shared" si="2"/>
        <v>0.65806405215645325</v>
      </c>
      <c r="F36">
        <f t="shared" si="2"/>
        <v>0.65705852264370335</v>
      </c>
      <c r="G36">
        <f t="shared" si="2"/>
        <v>0.6560545790767951</v>
      </c>
      <c r="H36">
        <f t="shared" si="2"/>
        <v>0.65505221887628939</v>
      </c>
    </row>
    <row r="37" spans="3:8" x14ac:dyDescent="0.3">
      <c r="C37">
        <v>16</v>
      </c>
      <c r="D37">
        <v>2.5</v>
      </c>
      <c r="E37">
        <f t="shared" si="2"/>
        <v>0.64924086875013876</v>
      </c>
      <c r="F37">
        <f t="shared" si="2"/>
        <v>0.64821684487954623</v>
      </c>
      <c r="G37">
        <f t="shared" si="2"/>
        <v>0.64719448655584555</v>
      </c>
      <c r="H37">
        <f t="shared" si="2"/>
        <v>0.64617379098811278</v>
      </c>
    </row>
    <row r="38" spans="3:8" x14ac:dyDescent="0.3">
      <c r="C38">
        <v>16.5</v>
      </c>
      <c r="D38">
        <v>2.5</v>
      </c>
      <c r="E38">
        <f t="shared" si="2"/>
        <v>0.64053598471782347</v>
      </c>
      <c r="F38">
        <f t="shared" si="2"/>
        <v>0.63949414474522126</v>
      </c>
      <c r="G38">
        <f t="shared" si="2"/>
        <v>0.63845405060308924</v>
      </c>
      <c r="H38">
        <f t="shared" si="2"/>
        <v>0.63741569928000541</v>
      </c>
    </row>
    <row r="39" spans="3:8" x14ac:dyDescent="0.3">
      <c r="C39">
        <v>17</v>
      </c>
      <c r="D39">
        <v>2.5</v>
      </c>
      <c r="E39">
        <f t="shared" ref="E39:H65" si="4">1/(1+E$4/2)^(2*$C39)</f>
        <v>0.63194781392656152</v>
      </c>
      <c r="F39">
        <f t="shared" si="4"/>
        <v>0.63088882122372969</v>
      </c>
      <c r="G39">
        <f t="shared" si="4"/>
        <v>0.62983165524281515</v>
      </c>
      <c r="H39">
        <f t="shared" si="4"/>
        <v>0.62877631274291779</v>
      </c>
    </row>
    <row r="40" spans="3:8" x14ac:dyDescent="0.3">
      <c r="C40">
        <v>17.5</v>
      </c>
      <c r="D40">
        <v>2.5</v>
      </c>
      <c r="E40">
        <f t="shared" si="4"/>
        <v>0.62347479150994156</v>
      </c>
      <c r="F40">
        <f t="shared" si="4"/>
        <v>0.62239929484208356</v>
      </c>
      <c r="G40">
        <f t="shared" si="4"/>
        <v>0.6213257063232499</v>
      </c>
      <c r="H40">
        <f t="shared" si="4"/>
        <v>0.6202540224741232</v>
      </c>
    </row>
    <row r="41" spans="3:8" x14ac:dyDescent="0.3">
      <c r="C41">
        <v>18</v>
      </c>
      <c r="D41">
        <v>2.5</v>
      </c>
      <c r="E41">
        <f t="shared" si="4"/>
        <v>0.61511537358294921</v>
      </c>
      <c r="F41">
        <f t="shared" si="4"/>
        <v>0.61402400738140128</v>
      </c>
      <c r="G41">
        <f t="shared" si="4"/>
        <v>0.61293463122182312</v>
      </c>
      <c r="H41">
        <f t="shared" si="4"/>
        <v>0.61184724137759505</v>
      </c>
    </row>
    <row r="42" spans="3:8" x14ac:dyDescent="0.3">
      <c r="C42">
        <v>18.5</v>
      </c>
      <c r="D42">
        <v>2.5</v>
      </c>
      <c r="E42">
        <f t="shared" si="4"/>
        <v>0.60686803696065383</v>
      </c>
      <c r="F42">
        <f t="shared" si="4"/>
        <v>0.60576142159090141</v>
      </c>
      <c r="G42">
        <f t="shared" si="4"/>
        <v>0.6046568785544133</v>
      </c>
      <c r="H42">
        <f t="shared" si="4"/>
        <v>0.60355440386844261</v>
      </c>
    </row>
    <row r="43" spans="3:8" x14ac:dyDescent="0.3">
      <c r="C43">
        <v>19</v>
      </c>
      <c r="D43">
        <v>2.5</v>
      </c>
      <c r="E43">
        <f t="shared" si="4"/>
        <v>0.59873127888066557</v>
      </c>
      <c r="F43">
        <f t="shared" si="4"/>
        <v>0.597610020905747</v>
      </c>
      <c r="G43">
        <f t="shared" si="4"/>
        <v>0.59649091788851938</v>
      </c>
      <c r="H43">
        <f t="shared" si="4"/>
        <v>0.59537396558135469</v>
      </c>
    </row>
    <row r="44" spans="3:8" x14ac:dyDescent="0.3">
      <c r="C44">
        <v>19.5</v>
      </c>
      <c r="D44">
        <v>2.5</v>
      </c>
      <c r="E44">
        <f t="shared" si="4"/>
        <v>0.59070361672931426</v>
      </c>
      <c r="F44">
        <f t="shared" si="4"/>
        <v>0.58956830916868608</v>
      </c>
      <c r="G44">
        <f t="shared" si="4"/>
        <v>0.58843523946030796</v>
      </c>
      <c r="H44">
        <f t="shared" si="4"/>
        <v>0.58730440308299425</v>
      </c>
    </row>
    <row r="45" spans="3:8" x14ac:dyDescent="0.3">
      <c r="C45">
        <v>20</v>
      </c>
      <c r="D45">
        <v>2.5</v>
      </c>
      <c r="E45">
        <f t="shared" si="4"/>
        <v>0.58278358777149941</v>
      </c>
      <c r="F45">
        <f t="shared" si="4"/>
        <v>0.58163481035543785</v>
      </c>
      <c r="G45">
        <f t="shared" si="4"/>
        <v>0.5804883538954787</v>
      </c>
      <c r="H45">
        <f t="shared" si="4"/>
        <v>0.57934421358829125</v>
      </c>
    </row>
    <row r="46" spans="3:8" x14ac:dyDescent="0.3">
      <c r="C46">
        <v>20.5</v>
      </c>
      <c r="D46">
        <v>2.5</v>
      </c>
      <c r="E46">
        <f t="shared" si="4"/>
        <v>0.57496974888416374</v>
      </c>
      <c r="F46">
        <f t="shared" si="4"/>
        <v>0.57380806830377429</v>
      </c>
      <c r="G46">
        <f t="shared" si="4"/>
        <v>0.5726487919339035</v>
      </c>
      <c r="H46">
        <f t="shared" si="4"/>
        <v>0.57149191468057992</v>
      </c>
    </row>
    <row r="47" spans="3:8" x14ac:dyDescent="0.3">
      <c r="C47">
        <v>21</v>
      </c>
      <c r="D47">
        <v>2.5</v>
      </c>
      <c r="E47">
        <f t="shared" si="4"/>
        <v>0.56726067629333721</v>
      </c>
      <c r="F47">
        <f t="shared" si="4"/>
        <v>0.56608664644624751</v>
      </c>
      <c r="G47">
        <f t="shared" si="4"/>
        <v>0.56491510415798074</v>
      </c>
      <c r="H47">
        <f t="shared" si="4"/>
        <v>0.56374604403553175</v>
      </c>
    </row>
    <row r="48" spans="3:8" x14ac:dyDescent="0.3">
      <c r="C48">
        <v>21.5</v>
      </c>
      <c r="D48">
        <v>2.5</v>
      </c>
      <c r="E48">
        <f t="shared" si="4"/>
        <v>0.55965496531471026</v>
      </c>
      <c r="F48">
        <f t="shared" si="4"/>
        <v>0.55846912754651301</v>
      </c>
      <c r="G48">
        <f t="shared" si="4"/>
        <v>0.55728586072466024</v>
      </c>
      <c r="H48">
        <f t="shared" si="4"/>
        <v>0.55610515914882674</v>
      </c>
    </row>
    <row r="49" spans="3:8" x14ac:dyDescent="0.3">
      <c r="C49">
        <v>22</v>
      </c>
      <c r="D49">
        <v>2.5</v>
      </c>
      <c r="E49">
        <f t="shared" si="4"/>
        <v>0.55215123009768274</v>
      </c>
      <c r="F49">
        <f t="shared" si="4"/>
        <v>0.55095411343920231</v>
      </c>
      <c r="G49">
        <f t="shared" si="4"/>
        <v>0.54975965110108638</v>
      </c>
      <c r="H49">
        <f t="shared" si="4"/>
        <v>0.5485678370675191</v>
      </c>
    </row>
    <row r="50" spans="3:8" x14ac:dyDescent="0.3">
      <c r="C50">
        <v>22.5</v>
      </c>
      <c r="D50">
        <v>2.5</v>
      </c>
      <c r="E50">
        <f t="shared" si="4"/>
        <v>0.54474810337284574</v>
      </c>
      <c r="F50">
        <f t="shared" si="4"/>
        <v>0.54354022477329456</v>
      </c>
      <c r="G50">
        <f t="shared" si="4"/>
        <v>0.54233508380381223</v>
      </c>
      <c r="H50">
        <f t="shared" si="4"/>
        <v>0.54113267412504107</v>
      </c>
    </row>
    <row r="51" spans="3:8" x14ac:dyDescent="0.3">
      <c r="C51">
        <v>23</v>
      </c>
      <c r="D51">
        <v>2.5</v>
      </c>
      <c r="E51">
        <f t="shared" si="4"/>
        <v>0.53744423620284909</v>
      </c>
      <c r="F51">
        <f t="shared" si="4"/>
        <v>0.53622610075894261</v>
      </c>
      <c r="G51">
        <f t="shared" si="4"/>
        <v>0.53501078614153452</v>
      </c>
      <c r="H51">
        <f t="shared" si="4"/>
        <v>0.53379828567980048</v>
      </c>
    </row>
    <row r="52" spans="3:8" x14ac:dyDescent="0.3">
      <c r="C52">
        <v>23.5</v>
      </c>
      <c r="D52">
        <v>2.5</v>
      </c>
      <c r="E52">
        <f t="shared" si="4"/>
        <v>0.53023829773660858</v>
      </c>
      <c r="F52">
        <f t="shared" si="4"/>
        <v>0.52901039891770496</v>
      </c>
      <c r="G52">
        <f t="shared" si="4"/>
        <v>0.52778540396130436</v>
      </c>
      <c r="H52">
        <f t="shared" si="4"/>
        <v>0.52656330585732081</v>
      </c>
    </row>
    <row r="53" spans="3:8" x14ac:dyDescent="0.3">
      <c r="C53">
        <v>24</v>
      </c>
      <c r="D53">
        <v>2.5</v>
      </c>
      <c r="E53">
        <f t="shared" si="4"/>
        <v>0.52312897496680955</v>
      </c>
      <c r="F53">
        <f t="shared" si="4"/>
        <v>0.52189179483614001</v>
      </c>
      <c r="G53">
        <f t="shared" si="4"/>
        <v>0.52065760139816353</v>
      </c>
      <c r="H53">
        <f t="shared" si="4"/>
        <v>0.51942638729587554</v>
      </c>
    </row>
    <row r="54" spans="3:8" x14ac:dyDescent="0.3">
      <c r="C54">
        <v>24.5</v>
      </c>
      <c r="D54">
        <v>2.5</v>
      </c>
      <c r="E54">
        <f t="shared" si="4"/>
        <v>0.51611497249066152</v>
      </c>
      <c r="F54">
        <f t="shared" si="4"/>
        <v>0.51486898192271413</v>
      </c>
      <c r="G54">
        <f t="shared" si="4"/>
        <v>0.51362606062816396</v>
      </c>
      <c r="H54">
        <f t="shared" si="4"/>
        <v>0.51238620089557041</v>
      </c>
    </row>
    <row r="55" spans="3:8" x14ac:dyDescent="0.3">
      <c r="C55">
        <v>25</v>
      </c>
      <c r="D55">
        <v>2.5</v>
      </c>
      <c r="E55">
        <f t="shared" si="4"/>
        <v>0.50919501227385966</v>
      </c>
      <c r="F55">
        <f t="shared" si="4"/>
        <v>0.5079406711679828</v>
      </c>
      <c r="G55">
        <f t="shared" si="4"/>
        <v>0.5066894816247216</v>
      </c>
      <c r="H55">
        <f t="shared" si="4"/>
        <v>0.5054414355708271</v>
      </c>
    </row>
    <row r="56" spans="3:8" x14ac:dyDescent="0.3">
      <c r="C56">
        <v>25.5</v>
      </c>
      <c r="D56">
        <v>2.5</v>
      </c>
      <c r="E56">
        <f t="shared" si="4"/>
        <v>0.50236783341771296</v>
      </c>
      <c r="F56">
        <f t="shared" si="4"/>
        <v>0.50110559090799767</v>
      </c>
      <c r="G56">
        <f t="shared" si="4"/>
        <v>0.49984658191826054</v>
      </c>
      <c r="H56">
        <f t="shared" si="4"/>
        <v>0.49859079800622164</v>
      </c>
    </row>
    <row r="57" spans="3:8" x14ac:dyDescent="0.3">
      <c r="C57">
        <v>26</v>
      </c>
      <c r="D57">
        <v>2.5</v>
      </c>
      <c r="E57">
        <f t="shared" si="4"/>
        <v>0.4956321919293924</v>
      </c>
      <c r="F57">
        <f t="shared" si="4"/>
        <v>0.49436248659089788</v>
      </c>
      <c r="G57">
        <f t="shared" si="4"/>
        <v>0.49309609635910445</v>
      </c>
      <c r="H57">
        <f t="shared" si="4"/>
        <v>0.49183301241563082</v>
      </c>
    </row>
    <row r="58" spans="3:8" x14ac:dyDescent="0.3">
      <c r="C58">
        <v>26.5</v>
      </c>
      <c r="D58">
        <v>2.5</v>
      </c>
      <c r="E58">
        <f t="shared" si="4"/>
        <v>0.48898686049526185</v>
      </c>
      <c r="F58">
        <f t="shared" si="4"/>
        <v>0.4877101205466417</v>
      </c>
      <c r="G58">
        <f t="shared" si="4"/>
        <v>0.4864367768835684</v>
      </c>
      <c r="H58">
        <f t="shared" si="4"/>
        <v>0.48516682030464497</v>
      </c>
    </row>
    <row r="59" spans="3:8" x14ac:dyDescent="0.3">
      <c r="C59">
        <v>27</v>
      </c>
      <c r="D59">
        <v>2.5</v>
      </c>
      <c r="E59">
        <f t="shared" si="4"/>
        <v>0.48243062825724581</v>
      </c>
      <c r="F59">
        <f t="shared" si="4"/>
        <v>0.48114727175983751</v>
      </c>
      <c r="G59">
        <f t="shared" si="4"/>
        <v>0.47986739228321112</v>
      </c>
      <c r="H59">
        <f t="shared" si="4"/>
        <v>0.4785909802361995</v>
      </c>
    </row>
    <row r="60" spans="3:8" x14ac:dyDescent="0.3">
      <c r="C60">
        <v>27.5</v>
      </c>
      <c r="D60">
        <v>2.5</v>
      </c>
      <c r="E60">
        <f t="shared" si="4"/>
        <v>0.47596230059219796</v>
      </c>
      <c r="F60">
        <f t="shared" si="4"/>
        <v>0.47467273564563101</v>
      </c>
      <c r="G60">
        <f t="shared" si="4"/>
        <v>0.47338672797720338</v>
      </c>
      <c r="H60">
        <f t="shared" si="4"/>
        <v>0.47210426759938401</v>
      </c>
    </row>
    <row r="61" spans="3:8" x14ac:dyDescent="0.3">
      <c r="C61">
        <v>28</v>
      </c>
      <c r="D61">
        <v>2.5</v>
      </c>
      <c r="E61">
        <f t="shared" si="4"/>
        <v>0.46958069889422532</v>
      </c>
      <c r="F61">
        <f t="shared" si="4"/>
        <v>0.46828532382860871</v>
      </c>
      <c r="G61">
        <f t="shared" si="4"/>
        <v>0.46699358578776878</v>
      </c>
      <c r="H61">
        <f t="shared" si="4"/>
        <v>0.46570547438138382</v>
      </c>
    </row>
    <row r="62" spans="3:8" x14ac:dyDescent="0.3">
      <c r="C62">
        <v>28.5</v>
      </c>
      <c r="D62">
        <v>2.5</v>
      </c>
      <c r="E62">
        <f t="shared" si="4"/>
        <v>0.46328466035993382</v>
      </c>
      <c r="F62">
        <f t="shared" si="4"/>
        <v>0.46198386392467611</v>
      </c>
      <c r="G62">
        <f t="shared" si="4"/>
        <v>0.46068678371866029</v>
      </c>
      <c r="H62">
        <f t="shared" si="4"/>
        <v>0.45939340894251357</v>
      </c>
    </row>
    <row r="63" spans="3:8" x14ac:dyDescent="0.3">
      <c r="C63">
        <v>29</v>
      </c>
      <c r="D63">
        <v>2.5</v>
      </c>
      <c r="E63">
        <f t="shared" si="4"/>
        <v>0.45707303777655051</v>
      </c>
      <c r="F63">
        <f t="shared" si="4"/>
        <v>0.45576719932587118</v>
      </c>
      <c r="G63">
        <f t="shared" si="4"/>
        <v>0.45446515573662594</v>
      </c>
      <c r="H63">
        <f t="shared" si="4"/>
        <v>0.45316689579429992</v>
      </c>
    </row>
    <row r="64" spans="3:8" x14ac:dyDescent="0.3">
      <c r="C64">
        <v>29.5</v>
      </c>
      <c r="D64">
        <v>2.5</v>
      </c>
      <c r="E64">
        <f t="shared" si="4"/>
        <v>0.45094469931288839</v>
      </c>
      <c r="F64">
        <f t="shared" si="4"/>
        <v>0.44963418898807389</v>
      </c>
      <c r="G64">
        <f t="shared" si="4"/>
        <v>0.4483275515558266</v>
      </c>
      <c r="H64">
        <f t="shared" si="4"/>
        <v>0.44702477538057078</v>
      </c>
    </row>
    <row r="65" spans="3:8" x14ac:dyDescent="0.3">
      <c r="C65">
        <v>30</v>
      </c>
      <c r="D65">
        <v>102.5</v>
      </c>
      <c r="E65">
        <f t="shared" si="4"/>
        <v>0.44489852831311311</v>
      </c>
      <c r="F65">
        <f t="shared" si="4"/>
        <v>0.44358370722157164</v>
      </c>
      <c r="G65">
        <f t="shared" si="4"/>
        <v>0.44227283642516618</v>
      </c>
      <c r="H65">
        <f t="shared" si="4"/>
        <v>0.44096590386151358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Junbeom Lee</dc:creator>
  <cp:lastModifiedBy>IBKS1</cp:lastModifiedBy>
  <dcterms:created xsi:type="dcterms:W3CDTF">2025-01-11T11:45:17Z</dcterms:created>
  <dcterms:modified xsi:type="dcterms:W3CDTF">2025-01-12T22:33:26Z</dcterms:modified>
</cp:coreProperties>
</file>